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y" sheetId="1" r:id="rId1"/>
    <sheet name="August" sheetId="2" r:id="rId2"/>
    <sheet name="Balance Tracker" sheetId="3" r:id="rId3"/>
    <sheet name="Bank Holiday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Expense</v>
      </c>
      <c r="B1" t="str">
        <v>Amount</v>
      </c>
      <c r="C1" t="str">
        <v>Due Date</v>
      </c>
      <c r="D1" t="str">
        <v>Adj Due Date</v>
      </c>
      <c r="E1" t="str">
        <v>Paid?</v>
      </c>
      <c r="F1" t="str">
        <v>Amt Paid</v>
      </c>
      <c r="G1" t="str">
        <v>Interest Rate</v>
      </c>
      <c r="H1" t="str">
        <v>Balance</v>
      </c>
      <c r="I1" t="str">
        <v>Est. Next Pmt</v>
      </c>
      <c r="J1" t="str">
        <v>New Purchases</v>
      </c>
      <c r="K1" t="str">
        <v>MASTER SHEET - edit here. Other months update automatically.</v>
      </c>
    </row>
    <row r="2">
      <c r="A2" t="str">
        <v>CREDIT CARDS</v>
      </c>
    </row>
    <row r="3">
      <c r="A3" t="str">
        <v>Chase Freedom ****1234 (Alex)</v>
      </c>
      <c r="B3">
        <v>80</v>
      </c>
      <c r="C3" t="str">
        <v>2026-01-05</v>
      </c>
      <c r="D3" t="str">
        <v>2026-01-05</v>
      </c>
      <c r="E3" t="str">
        <v/>
      </c>
      <c r="F3">
        <v>80</v>
      </c>
      <c r="G3" t="str">
        <v>20.99%</v>
      </c>
      <c r="H3">
        <v>2200</v>
      </c>
      <c r="I3">
        <v>80</v>
      </c>
      <c r="J3">
        <v>0</v>
      </c>
    </row>
    <row r="4">
      <c r="A4" t="str">
        <v>Chase Sapphire ****5678 (Alex)</v>
      </c>
      <c r="B4">
        <v>95</v>
      </c>
      <c r="C4" t="str">
        <v>2026-01-06</v>
      </c>
      <c r="D4" t="str">
        <v>2026-01-06</v>
      </c>
      <c r="E4" t="str">
        <v/>
      </c>
      <c r="F4">
        <v>95</v>
      </c>
      <c r="G4" t="str">
        <v>21.99%</v>
      </c>
      <c r="H4">
        <v>4800</v>
      </c>
      <c r="I4">
        <v>95</v>
      </c>
      <c r="J4">
        <v>0</v>
      </c>
    </row>
    <row r="5">
      <c r="A5" t="str">
        <v>CREDIT CARDS SUBTOTAL</v>
      </c>
      <c r="B5">
        <v>175</v>
      </c>
      <c r="F5">
        <v>175</v>
      </c>
      <c r="H5">
        <v>7000</v>
      </c>
      <c r="I5">
        <v>175</v>
      </c>
      <c r="J5">
        <v>0</v>
      </c>
    </row>
    <row r="6">
      <c r="A6" t="str">
        <v>STUDENT LOANS</v>
      </c>
    </row>
    <row r="7">
      <c r="A7" t="str">
        <v>Aidvantage</v>
      </c>
      <c r="B7">
        <v>90</v>
      </c>
      <c r="C7" t="str">
        <v>2026-01-10</v>
      </c>
      <c r="D7" t="str">
        <v>2026-01-12</v>
      </c>
      <c r="E7" t="str">
        <v/>
      </c>
      <c r="F7">
        <v>90</v>
      </c>
      <c r="G7" t="str">
        <v>5.5%</v>
      </c>
      <c r="H7">
        <v>8000</v>
      </c>
      <c r="I7">
        <v>90</v>
      </c>
      <c r="J7">
        <v>0</v>
      </c>
    </row>
    <row r="8">
      <c r="A8" t="str">
        <v>Aidvantage</v>
      </c>
      <c r="B8">
        <v>130</v>
      </c>
      <c r="C8" t="str">
        <v>2026-01-11</v>
      </c>
      <c r="D8" t="str">
        <v>2026-01-13</v>
      </c>
      <c r="E8" t="str">
        <v/>
      </c>
      <c r="F8">
        <v>130</v>
      </c>
      <c r="G8" t="str">
        <v>6.0%</v>
      </c>
      <c r="H8">
        <v>12000</v>
      </c>
      <c r="I8">
        <v>130</v>
      </c>
      <c r="J8">
        <v>0</v>
      </c>
    </row>
    <row r="9">
      <c r="A9" t="str">
        <v>STUDENT LOANS SUBTOTAL</v>
      </c>
      <c r="B9">
        <v>220</v>
      </c>
      <c r="F9">
        <v>220</v>
      </c>
      <c r="H9">
        <v>20000</v>
      </c>
      <c r="I9">
        <v>220</v>
      </c>
      <c r="J9">
        <v>0</v>
      </c>
    </row>
    <row r="10">
      <c r="A10" t="str">
        <v>PERSONAL LOANS</v>
      </c>
    </row>
    <row r="11">
      <c r="A11" t="str">
        <v>SOFI (Personal Loan)</v>
      </c>
      <c r="B11">
        <v>255</v>
      </c>
      <c r="C11">
        <v>15</v>
      </c>
      <c r="D11">
        <v>15</v>
      </c>
      <c r="E11" t="str">
        <v/>
      </c>
      <c r="F11">
        <v>255</v>
      </c>
      <c r="G11" t="str">
        <v/>
      </c>
      <c r="H11">
        <v>6200</v>
      </c>
      <c r="I11">
        <v>255</v>
      </c>
      <c r="J11">
        <v>0</v>
      </c>
    </row>
    <row r="12">
      <c r="A12" t="str">
        <v>PERSONAL LOANS SUBTOTAL</v>
      </c>
      <c r="B12">
        <v>255</v>
      </c>
      <c r="F12">
        <v>255</v>
      </c>
      <c r="H12">
        <v>6200</v>
      </c>
      <c r="I12">
        <v>255</v>
      </c>
      <c r="J12">
        <v>0</v>
      </c>
    </row>
    <row r="13">
      <c r="A13" t="str">
        <v>LINE OF CREDIT</v>
      </c>
    </row>
    <row r="14">
      <c r="A14" t="str">
        <v>WELLS FARGO (Line of Credit) (Test Business)</v>
      </c>
      <c r="B14">
        <v>0</v>
      </c>
      <c r="C14" t="str">
        <v>2026-01-13</v>
      </c>
      <c r="D14" t="str">
        <f>IF(C13="","",WORKDAY(C13-1,1))</f>
        <v>2026-01-13</v>
      </c>
      <c r="E14" t="str">
        <v/>
      </c>
      <c r="F14">
        <v>0</v>
      </c>
      <c r="G14" t="str">
        <f>'Balance Tracker'!B99</f>
        <v>0</v>
      </c>
      <c r="H14" t="str">
        <v/>
      </c>
      <c r="I14" t="str">
        <v/>
      </c>
      <c r="J14">
        <v>0</v>
      </c>
    </row>
    <row r="15">
      <c r="A15" t="str">
        <v>LINE OF CREDIT SUBTOTAL</v>
      </c>
      <c r="B15">
        <v>0</v>
      </c>
      <c r="F15">
        <v>0</v>
      </c>
      <c r="J15">
        <v>0</v>
      </c>
    </row>
    <row r="16">
      <c r="A16" t="str">
        <v>BUSINESS</v>
      </c>
    </row>
    <row r="17">
      <c r="A17" t="str">
        <v>Test Business credit card</v>
      </c>
      <c r="B17">
        <v>300</v>
      </c>
      <c r="C17" t="str">
        <v>2026-01-20</v>
      </c>
      <c r="D17" t="str">
        <v>2026-01-20</v>
      </c>
      <c r="E17" t="str">
        <v/>
      </c>
      <c r="F17">
        <v>300</v>
      </c>
      <c r="G17" t="str">
        <v>18.5%</v>
      </c>
      <c r="H17">
        <v>9100</v>
      </c>
      <c r="I17">
        <v>300</v>
      </c>
      <c r="J17">
        <v>0</v>
      </c>
    </row>
    <row r="18">
      <c r="A18" t="str">
        <v>Business storage fee</v>
      </c>
      <c r="B18">
        <v>60</v>
      </c>
      <c r="C18" t="str">
        <v>2026-01-08</v>
      </c>
      <c r="D18" t="str">
        <v>2026-01-08</v>
      </c>
      <c r="E18" t="str">
        <v/>
      </c>
      <c r="F18">
        <v>60</v>
      </c>
      <c r="G18" t="str">
        <v/>
      </c>
      <c r="I18">
        <v>60</v>
      </c>
      <c r="J18">
        <v>0</v>
      </c>
    </row>
    <row r="19">
      <c r="A19" t="str">
        <v>BUSINESS SUBTOTAL</v>
      </c>
      <c r="B19">
        <v>360</v>
      </c>
      <c r="F19">
        <v>360</v>
      </c>
      <c r="H19">
        <v>9100</v>
      </c>
      <c r="I19">
        <v>360</v>
      </c>
      <c r="J19">
        <v>0</v>
      </c>
    </row>
    <row r="20">
      <c r="A20" t="str">
        <v>HOME EXPENSES</v>
      </c>
    </row>
    <row r="21">
      <c r="A21" t="str">
        <v>Electricity</v>
      </c>
      <c r="B21">
        <v>225</v>
      </c>
      <c r="C21" t="str">
        <v>2026-01-18</v>
      </c>
      <c r="D21" t="str">
        <v>2026-01-18</v>
      </c>
      <c r="E21" t="str">
        <v/>
      </c>
      <c r="F21">
        <v>225</v>
      </c>
      <c r="G21" t="str">
        <v/>
      </c>
      <c r="I21">
        <v>225</v>
      </c>
      <c r="J21">
        <v>0</v>
      </c>
    </row>
    <row r="22">
      <c r="A22" t="str">
        <v>SUBSCRIPTIONS</v>
      </c>
    </row>
    <row r="23">
      <c r="A23" t="str">
        <v>Netflix</v>
      </c>
      <c r="B23">
        <v>22</v>
      </c>
      <c r="C23" t="str">
        <v>2026-01-01</v>
      </c>
      <c r="D23" t="str">
        <v>2026-01-01</v>
      </c>
      <c r="E23" t="str">
        <v/>
      </c>
      <c r="F23">
        <v>22</v>
      </c>
      <c r="G23" t="str">
        <v/>
      </c>
      <c r="I23">
        <v>22</v>
      </c>
      <c r="J23">
        <v>0</v>
      </c>
    </row>
    <row r="24">
      <c r="A24" t="str">
        <v>STORAGE</v>
      </c>
    </row>
    <row r="25">
      <c r="A25" t="str">
        <v>Public Storage</v>
      </c>
      <c r="B25">
        <v>90</v>
      </c>
      <c r="C25" t="str">
        <v>2026-01-09</v>
      </c>
      <c r="D25" t="str">
        <v>2026-01-09</v>
      </c>
      <c r="E25" t="str">
        <v/>
      </c>
      <c r="F25">
        <v>90</v>
      </c>
      <c r="G25" t="str">
        <v/>
      </c>
      <c r="I25">
        <v>90</v>
      </c>
      <c r="J25">
        <v>0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Expense</v>
      </c>
      <c r="B1" t="str">
        <v>Amount</v>
      </c>
      <c r="C1" t="str">
        <v>Due Date</v>
      </c>
      <c r="D1" t="str">
        <v>Adj Due Date</v>
      </c>
      <c r="E1" t="str">
        <v>Paid?</v>
      </c>
      <c r="F1" t="str">
        <v>Amt Paid</v>
      </c>
      <c r="G1" t="str">
        <v>Interest Rate</v>
      </c>
      <c r="H1" t="str">
        <v>Balance</v>
      </c>
      <c r="I1" t="str">
        <v>Est. Next Pmt</v>
      </c>
      <c r="J1" t="str">
        <v>New Purchases</v>
      </c>
    </row>
    <row r="2">
      <c r="A2" t="str">
        <f>January!A2</f>
        <v>CREDIT CARDS</v>
      </c>
    </row>
    <row r="3">
      <c r="A3" t="str">
        <f>January!A3</f>
        <v>Chase Freedom ****1234 (Alex)</v>
      </c>
      <c r="B3" t="str">
        <f>January!B3</f>
        <v>80</v>
      </c>
      <c r="C3" t="str">
        <v>2026-08-05</v>
      </c>
      <c r="D3" t="str">
        <v>2026-08-05</v>
      </c>
      <c r="E3" t="str">
        <v/>
      </c>
      <c r="F3">
        <v>0</v>
      </c>
      <c r="G3" t="str">
        <f>January!G3</f>
        <v>0.2099</v>
      </c>
      <c r="H3" t="str">
        <f>'Balance Tracker'!I4</f>
        <v>1975</v>
      </c>
      <c r="I3">
        <v>80</v>
      </c>
      <c r="J3">
        <v>0</v>
      </c>
    </row>
    <row r="4">
      <c r="A4" t="str">
        <f>January!A4</f>
        <v>Chase Sapphire ****5678 (Alex)</v>
      </c>
      <c r="B4" t="str">
        <f>January!B4</f>
        <v>95</v>
      </c>
      <c r="C4" t="str">
        <v>2026-08-06</v>
      </c>
      <c r="D4" t="str">
        <v>2026-08-06</v>
      </c>
      <c r="E4" t="str">
        <v/>
      </c>
      <c r="F4">
        <v>0</v>
      </c>
      <c r="G4" t="str">
        <f>January!G4</f>
        <v>0.2199</v>
      </c>
      <c r="H4" t="str">
        <f>'Balance Tracker'!I5</f>
        <v>4400</v>
      </c>
      <c r="I4">
        <v>95</v>
      </c>
      <c r="J4">
        <v>0</v>
      </c>
    </row>
    <row r="5">
      <c r="A5" t="str">
        <f>January!A5</f>
        <v>CREDIT CARDS SUBTOTAL</v>
      </c>
      <c r="B5">
        <v>175</v>
      </c>
      <c r="F5">
        <v>0</v>
      </c>
      <c r="H5">
        <v>6375</v>
      </c>
      <c r="I5">
        <v>175</v>
      </c>
      <c r="J5">
        <v>0</v>
      </c>
    </row>
    <row r="6">
      <c r="A6" t="str">
        <f>January!A6</f>
        <v>STUDENT LOANS</v>
      </c>
    </row>
    <row r="7">
      <c r="A7" t="str">
        <f>January!A7</f>
        <v>Aidvantage</v>
      </c>
      <c r="B7" t="str">
        <f>January!B7</f>
        <v>90</v>
      </c>
      <c r="C7" t="str">
        <v>2026-08-10</v>
      </c>
      <c r="D7" t="str">
        <v>2026-08-12</v>
      </c>
      <c r="E7" t="str">
        <v/>
      </c>
      <c r="F7">
        <v>0</v>
      </c>
      <c r="G7" t="str">
        <f>January!G7</f>
        <v>0.055</v>
      </c>
      <c r="H7">
        <v>7500</v>
      </c>
      <c r="I7">
        <v>90</v>
      </c>
      <c r="J7">
        <v>0</v>
      </c>
    </row>
    <row r="8">
      <c r="A8" t="str">
        <f>January!A8</f>
        <v>Aidvantage</v>
      </c>
      <c r="B8" t="str">
        <f>January!B8</f>
        <v>130</v>
      </c>
      <c r="C8" t="str">
        <v>2026-08-11</v>
      </c>
      <c r="D8" t="str">
        <v>2026-08-13</v>
      </c>
      <c r="E8" t="str">
        <v/>
      </c>
      <c r="F8">
        <v>0</v>
      </c>
      <c r="G8" t="str">
        <f>January!G8</f>
        <v>0.06</v>
      </c>
      <c r="H8">
        <v>11200</v>
      </c>
      <c r="I8">
        <v>130</v>
      </c>
      <c r="J8">
        <v>0</v>
      </c>
    </row>
    <row r="9">
      <c r="A9" t="str">
        <f>January!A9</f>
        <v>STUDENT LOANS SUBTOTAL</v>
      </c>
      <c r="B9">
        <v>220</v>
      </c>
      <c r="F9">
        <v>0</v>
      </c>
      <c r="H9">
        <v>18700</v>
      </c>
      <c r="I9">
        <v>220</v>
      </c>
      <c r="J9">
        <v>0</v>
      </c>
    </row>
    <row r="10">
      <c r="A10" t="str">
        <f>January!A10</f>
        <v>PERSONAL LOANS</v>
      </c>
    </row>
    <row r="11">
      <c r="A11" t="str">
        <f>January!A11</f>
        <v>SOFI (Personal Loan)</v>
      </c>
      <c r="B11" t="str">
        <f>January!B11</f>
        <v>255</v>
      </c>
      <c r="C11" t="str">
        <v>2026-08-15</v>
      </c>
      <c r="D11" t="str">
        <v>2026-08-17</v>
      </c>
      <c r="E11" t="str">
        <v/>
      </c>
      <c r="F11">
        <v>0</v>
      </c>
      <c r="G11" t="str">
        <v/>
      </c>
      <c r="H11">
        <v>5800</v>
      </c>
      <c r="I11">
        <v>255</v>
      </c>
      <c r="J11">
        <v>0</v>
      </c>
    </row>
    <row r="12">
      <c r="A12" t="str">
        <f>January!A12</f>
        <v>PERSONAL LOANS SUBTOTAL</v>
      </c>
      <c r="B12">
        <v>255</v>
      </c>
      <c r="F12">
        <v>0</v>
      </c>
      <c r="H12">
        <v>5800</v>
      </c>
      <c r="I12">
        <v>255</v>
      </c>
      <c r="J12">
        <v>0</v>
      </c>
    </row>
    <row r="13">
      <c r="A13" t="str">
        <f>January!A13</f>
        <v>LINE OF CREDIT</v>
      </c>
    </row>
    <row r="14">
      <c r="A14" t="str">
        <v>LINE OF CREDIT SUBTOTAL</v>
      </c>
      <c r="B14">
        <v>0</v>
      </c>
      <c r="F14">
        <v>0</v>
      </c>
      <c r="J14">
        <v>0</v>
      </c>
    </row>
    <row r="15">
      <c r="A15" t="str">
        <f>January!A16</f>
        <v>BUSINESS</v>
      </c>
    </row>
    <row r="16">
      <c r="A16" t="str">
        <f>January!A17</f>
        <v>Test Business credit card</v>
      </c>
      <c r="B16" t="str">
        <f>January!B17</f>
        <v>300</v>
      </c>
      <c r="C16" t="str">
        <v>2026-08-20</v>
      </c>
      <c r="D16" t="str">
        <v>2026-08-20</v>
      </c>
      <c r="E16" t="str">
        <v/>
      </c>
      <c r="F16">
        <v>0</v>
      </c>
      <c r="G16" t="str">
        <f>January!G17</f>
        <v>0.185</v>
      </c>
      <c r="H16">
        <v>8900</v>
      </c>
      <c r="I16">
        <v>300</v>
      </c>
      <c r="J16">
        <v>0</v>
      </c>
    </row>
    <row r="17">
      <c r="A17" t="str">
        <f>January!A18</f>
        <v>Business storage fee</v>
      </c>
      <c r="B17" t="str">
        <f>January!B18</f>
        <v>60</v>
      </c>
      <c r="C17" t="str">
        <v>2026-08-08</v>
      </c>
      <c r="D17" t="str">
        <v>2026-08-08</v>
      </c>
      <c r="E17" t="str">
        <v/>
      </c>
      <c r="F17">
        <v>0</v>
      </c>
      <c r="G17" t="str">
        <v/>
      </c>
      <c r="I17">
        <v>60</v>
      </c>
      <c r="J17">
        <v>0</v>
      </c>
    </row>
    <row r="18">
      <c r="A18" t="str">
        <f>January!A19</f>
        <v>BUSINESS SUBTOTAL</v>
      </c>
      <c r="B18">
        <v>360</v>
      </c>
      <c r="F18">
        <v>0</v>
      </c>
      <c r="H18">
        <v>8900</v>
      </c>
      <c r="I18">
        <v>360</v>
      </c>
      <c r="J18">
        <v>0</v>
      </c>
    </row>
    <row r="19">
      <c r="A19" t="str">
        <f>January!A20</f>
        <v>HOME EXPENSES</v>
      </c>
    </row>
    <row r="20">
      <c r="A20" t="str">
        <f>January!A21</f>
        <v>Electricity</v>
      </c>
      <c r="B20" t="str">
        <f>January!B21</f>
        <v>225</v>
      </c>
      <c r="C20" t="str">
        <v>2026-08-18</v>
      </c>
      <c r="D20" t="str">
        <v>2026-08-18</v>
      </c>
      <c r="E20" t="str">
        <v/>
      </c>
      <c r="F20">
        <v>0</v>
      </c>
      <c r="G20" t="str">
        <v/>
      </c>
      <c r="I20">
        <v>225</v>
      </c>
      <c r="J20">
        <v>0</v>
      </c>
    </row>
    <row r="21">
      <c r="A21" t="str">
        <f>January!A22</f>
        <v>SUBSCRIPTIONS</v>
      </c>
    </row>
    <row r="22">
      <c r="A22" t="str">
        <f>January!A23</f>
        <v>Netflix</v>
      </c>
      <c r="B22" t="str">
        <f>January!B23</f>
        <v>22</v>
      </c>
      <c r="C22" t="str">
        <v>2026-08-01</v>
      </c>
      <c r="D22" t="str">
        <v>2026-08-01</v>
      </c>
      <c r="E22" t="str">
        <v/>
      </c>
      <c r="F22">
        <v>0</v>
      </c>
      <c r="G22" t="str">
        <v/>
      </c>
      <c r="I22">
        <v>22</v>
      </c>
      <c r="J22">
        <v>0</v>
      </c>
    </row>
    <row r="23">
      <c r="A23" t="str">
        <f>January!A24</f>
        <v>STORAGE</v>
      </c>
    </row>
    <row r="24">
      <c r="A24" t="str">
        <f>January!A25</f>
        <v>Public Storage</v>
      </c>
      <c r="B24" t="str">
        <f>January!B25</f>
        <v>90</v>
      </c>
      <c r="C24" t="str">
        <v>2026-08-09</v>
      </c>
      <c r="D24" t="str">
        <v>2026-08-09</v>
      </c>
      <c r="E24" t="str">
        <v/>
      </c>
      <c r="F24">
        <v>0</v>
      </c>
      <c r="G24" t="str">
        <v/>
      </c>
      <c r="I24">
        <v>90</v>
      </c>
      <c r="J24">
        <v>0</v>
      </c>
    </row>
  </sheetData>
  <ignoredErrors>
    <ignoredError numberStoredAsText="1" sqref="A1:J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Balances as entered by household</v>
      </c>
    </row>
    <row r="3">
      <c r="A3" t="str">
        <v>Account / Cardholder</v>
      </c>
      <c r="B3" t="str">
        <v>APR (%)</v>
      </c>
      <c r="C3" t="str">
        <v>Min Payment</v>
      </c>
      <c r="D3" t="str">
        <v>Starting Balance</v>
      </c>
      <c r="E3" t="str">
        <v>New Balance</v>
      </c>
    </row>
    <row r="4">
      <c r="A4" t="str">
        <v>Chase Freedom ****1234 (Alex)</v>
      </c>
      <c r="B4" t="str">
        <v>20.99%</v>
      </c>
      <c r="C4">
        <v>80</v>
      </c>
      <c r="D4">
        <v>2200</v>
      </c>
      <c r="E4">
        <v>1975</v>
      </c>
    </row>
    <row r="5">
      <c r="A5" t="str">
        <v>Chase Sapphire ****5678 (Alex)</v>
      </c>
      <c r="B5" t="str">
        <v>21.99%</v>
      </c>
      <c r="C5">
        <v>95</v>
      </c>
      <c r="D5">
        <v>4800</v>
      </c>
      <c r="E5">
        <v>4400</v>
      </c>
    </row>
    <row r="6">
      <c r="A6" t="str">
        <v>Aidvantage</v>
      </c>
      <c r="B6" t="str">
        <v>5.5%</v>
      </c>
      <c r="C6">
        <v>90</v>
      </c>
      <c r="D6">
        <v>8000</v>
      </c>
      <c r="E6">
        <v>7500</v>
      </c>
    </row>
    <row r="7">
      <c r="A7" t="str">
        <v>Aidvantage</v>
      </c>
      <c r="B7" t="str">
        <v>6.0%</v>
      </c>
      <c r="C7">
        <v>130</v>
      </c>
      <c r="D7">
        <v>12000</v>
      </c>
      <c r="E7">
        <v>11200</v>
      </c>
    </row>
    <row r="8">
      <c r="A8" t="str">
        <v>SOFI (Jordan)</v>
      </c>
      <c r="B8" t="str">
        <v/>
      </c>
      <c r="C8">
        <v>255</v>
      </c>
      <c r="D8">
        <v>6200</v>
      </c>
      <c r="E8">
        <v>5800</v>
      </c>
    </row>
    <row r="9">
      <c r="A9" t="str">
        <v>WELLS FARGO LOC (Test Business)</v>
      </c>
      <c r="B9" t="str">
        <v>12.75%</v>
      </c>
      <c r="C9">
        <v>0</v>
      </c>
      <c r="D9">
        <v>0</v>
      </c>
      <c r="E9">
        <v>0</v>
      </c>
    </row>
    <row r="10">
      <c r="A10" t="str">
        <v>Test Business credit card</v>
      </c>
      <c r="B10" t="str">
        <v>18.5%</v>
      </c>
      <c r="C10">
        <v>300</v>
      </c>
      <c r="D10">
        <v>9100</v>
      </c>
      <c r="E10">
        <v>8900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Bank holidays (Federal Reserve) - 2026</v>
      </c>
    </row>
    <row r="2">
      <c r="A2" t="str">
        <v>2026-01-01</v>
      </c>
    </row>
    <row r="3">
      <c r="A3" t="str">
        <v>2026-12-25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August</vt:lpstr>
      <vt:lpstr>Balance Tracker</vt:lpstr>
      <vt:lpstr>Bank 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